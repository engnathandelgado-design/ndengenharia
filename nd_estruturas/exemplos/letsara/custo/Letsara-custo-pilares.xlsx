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Pilares" sheetId="2" state="visible" r:id="rId4"/>
    <sheet name="Comparativ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<sst xmlns="http://schemas.openxmlformats.org/spreadsheetml/2006/main" count="94" uniqueCount="83">
  <si>
    <t xml:space="preserve">PREMISSAS DE CUSTO — PILARES LETSARA (células amarelas: editar)</t>
  </si>
  <si>
    <t xml:space="preserve">Fonte dos preços: a preencher com os valores da fábrica (compra + corte/dobra + montagem). Os valores iniciais são estimativas da ND para o sul do PR, out/2026.</t>
  </si>
  <si>
    <t xml:space="preserve">Item</t>
  </si>
  <si>
    <t xml:space="preserve">Valor</t>
  </si>
  <si>
    <t xml:space="preserve">Observação</t>
  </si>
  <si>
    <t xml:space="preserve">Aço CA-50 colocado (R$/kg)</t>
  </si>
  <si>
    <t xml:space="preserve">inclui corte, dobra e montagem</t>
  </si>
  <si>
    <t xml:space="preserve">Cordoalha CP-190 RB Ø12,7 colocada (R$/kg)</t>
  </si>
  <si>
    <t xml:space="preserve">inclui perda de pista (~8 %)</t>
  </si>
  <si>
    <t xml:space="preserve">Operação de protensão por peça (R$/peça)</t>
  </si>
  <si>
    <t xml:space="preserve">estiramento, cabeceira, corte</t>
  </si>
  <si>
    <t xml:space="preserve">Concreto C40 lançado (R$/m³)</t>
  </si>
  <si>
    <t xml:space="preserve">igual nas duas opções</t>
  </si>
  <si>
    <t xml:space="preserve">Fôrma metálica — uso por peça (R$/peça)</t>
  </si>
  <si>
    <t xml:space="preserve">Mão de obra de armação extra por kg (R$/kg)</t>
  </si>
  <si>
    <t xml:space="preserve">já incluída no aço colocado; use se a fábrica separa</t>
  </si>
  <si>
    <t xml:space="preserve">Massa linear Ø20 (kg/m)</t>
  </si>
  <si>
    <t xml:space="preserve">NBR 7480</t>
  </si>
  <si>
    <t xml:space="preserve">Massa linear Ø25 (kg/m)</t>
  </si>
  <si>
    <t xml:space="preserve">Massa linear Ø8 (kg/m)</t>
  </si>
  <si>
    <t xml:space="preserve">Massa linear cordoalha Ø12,7 (kg/m)</t>
  </si>
  <si>
    <t xml:space="preserve">7 fios, 98,7 mm²</t>
  </si>
  <si>
    <t xml:space="preserve">Perda de pista da cordoalha (fração)</t>
  </si>
  <si>
    <t xml:space="preserve">comprimento morto nas cabeceiras</t>
  </si>
  <si>
    <t xml:space="preserve">Perdas/ganchos do aço passivo (fração)</t>
  </si>
  <si>
    <t xml:space="preserve">sobre o comprimento reto</t>
  </si>
  <si>
    <t xml:space="preserve">Comprimento do pilar com cálice (m)</t>
  </si>
  <si>
    <t xml:space="preserve">10,0 + 1,0 de embutimento</t>
  </si>
  <si>
    <t xml:space="preserve">Pilares laterais 40×60 (un)</t>
  </si>
  <si>
    <t xml:space="preserve">P1 e P2, linhas 1 a 9</t>
  </si>
  <si>
    <t xml:space="preserve">Pilares de fachada 40×60 (un)</t>
  </si>
  <si>
    <t xml:space="preserve">P3–P5 e P14–P16</t>
  </si>
  <si>
    <t xml:space="preserve">QUANTITATIVOS POR PILAR 40×60 × 11 m — ARMADO × PROTENDIDO</t>
  </si>
  <si>
    <t xml:space="preserve">Armaduras das verificações pelo método geral (DEC-012). Estribos Ø8 c/15 iguais nas duas opções. Cordoalhas a 250 mm do eixo, 5 por face.</t>
  </si>
  <si>
    <t xml:space="preserve">Unid.</t>
  </si>
  <si>
    <t xml:space="preserve">Armado</t>
  </si>
  <si>
    <t xml:space="preserve">Protendido</t>
  </si>
  <si>
    <t xml:space="preserve">Como foi calculado</t>
  </si>
  <si>
    <t xml:space="preserve">Concreto C40</t>
  </si>
  <si>
    <t xml:space="preserve">m³</t>
  </si>
  <si>
    <t xml:space="preserve">0,40 × 0,60 × L</t>
  </si>
  <si>
    <t xml:space="preserve">Barras Ø20 (un)</t>
  </si>
  <si>
    <t xml:space="preserve">un</t>
  </si>
  <si>
    <t xml:space="preserve">armado: 5 por face de 40; protendido: 8 Ø20 (4 por face de 60)</t>
  </si>
  <si>
    <t xml:space="preserve">Barras Ø25 (un)</t>
  </si>
  <si>
    <t xml:space="preserve">armado: 3 intermediárias por face de 60 (4 Ø25 por face com os cantos)</t>
  </si>
  <si>
    <t xml:space="preserve">Aço longitudinal CA-50</t>
  </si>
  <si>
    <t xml:space="preserve">kg</t>
  </si>
  <si>
    <t xml:space="preserve">n × kg/m × L × (1 + perdas)</t>
  </si>
  <si>
    <t xml:space="preserve">Estribos Ø8 c/15</t>
  </si>
  <si>
    <t xml:space="preserve">perímetro 1,78 m + ganchos = 1,90 m por estribo</t>
  </si>
  <si>
    <t xml:space="preserve">Aço CA-50 total</t>
  </si>
  <si>
    <t xml:space="preserve">Cordoalhas Ø12,7 (un)</t>
  </si>
  <si>
    <t xml:space="preserve">5 por face a 250 mm do eixo</t>
  </si>
  <si>
    <t xml:space="preserve">Cordoalha CP-190</t>
  </si>
  <si>
    <t xml:space="preserve">n × L × kg/m × (1 + perda de pista)</t>
  </si>
  <si>
    <t xml:space="preserve">Taxa de aço passivo</t>
  </si>
  <si>
    <t xml:space="preserve">%</t>
  </si>
  <si>
    <t xml:space="preserve">kg de aço / kg de concreto (7850 kg/m³ de aço)</t>
  </si>
  <si>
    <t xml:space="preserve">Custo por pilar</t>
  </si>
  <si>
    <t xml:space="preserve">Concreto</t>
  </si>
  <si>
    <t xml:space="preserve">Aço CA-50</t>
  </si>
  <si>
    <t xml:space="preserve">Cordoalha</t>
  </si>
  <si>
    <t xml:space="preserve">Operação de protensão</t>
  </si>
  <si>
    <t xml:space="preserve">Fôrma</t>
  </si>
  <si>
    <t xml:space="preserve">TOTAL por pilar</t>
  </si>
  <si>
    <t xml:space="preserve">Diferença por pilar (protendido − armado)</t>
  </si>
  <si>
    <t xml:space="preserve">COMPARATIVO — 24 PILARES 40×60 (laterais + fachadas)</t>
  </si>
  <si>
    <t xml:space="preserve">Diferença</t>
  </si>
  <si>
    <t xml:space="preserve">Pilares (un)</t>
  </si>
  <si>
    <t xml:space="preserve">Aço CA-50 total (kg)</t>
  </si>
  <si>
    <t xml:space="preserve">Cordoalha total (kg)</t>
  </si>
  <si>
    <t xml:space="preserve">Concreto total (m³)</t>
  </si>
  <si>
    <t xml:space="preserve">Custo total (R$)</t>
  </si>
  <si>
    <t xml:space="preserve">Custo por pilar (R$)</t>
  </si>
  <si>
    <t xml:space="preserve">Variação (%)</t>
  </si>
  <si>
    <t xml:space="preserve">O que não entra no custo e pesa na decisão</t>
  </si>
  <si>
    <t xml:space="preserve">1. Protendido: pilar sem fissura na combinação frequente e no içamento (menos reparo e melhor aparência).</t>
  </si>
  <si>
    <t xml:space="preserve">2. Protendido: cabeceira regulada em 525 mm; ocupa pista de protensão (concorre com as vigas).</t>
  </si>
  <si>
    <t xml:space="preserve">3. Armado: fissura na combinação rara de vento (8,8 MPa de tração) e perde rigidez depois disso; protendido também fissura na rara (4,7 MPa), mas com 16 cordoalhas não fissuraria.</t>
  </si>
  <si>
    <t xml:space="preserve">4. Os dois atendem à armadura mínima passiva (0,4 % Ac = 9,6 cm²): armado 51 cm² (2,1 %), protendido 25 cm² (1,05 %).</t>
  </si>
  <si>
    <t xml:space="preserve">5. Preços em amarelo são estimativas: trocar pelos da fábrica antes de decidir.</t>
  </si>
  <si>
    <t xml:space="preserve">Legenda: amarelo/azul = entrada editável; preto = fórmula; verde = vem de outra aba.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</si>
</sst>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;&quot;(R$ &quot;#,##0.00\);\-"/>
    <numFmt numFmtId="166" formatCode="0.000"/>
    <numFmt numFmtId="167" formatCode="0.0%"/>
    <numFmt numFmtId="168" formatCode="0"/>
    <numFmt numFmtId="169" formatCode="#,##0.0;\(#,##0.0\);\-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9.5</v>
      </c>
      <c r="C5" s="2" t="s">
        <v>6</v>
      </c>
    </row>
    <row r="6" customFormat="false" ht="15" hidden="false" customHeight="false" outlineLevel="0" collapsed="false">
      <c r="A6" s="4" t="s">
        <v>7</v>
      </c>
      <c r="B6" s="5" t="n">
        <v>12</v>
      </c>
      <c r="C6" s="2" t="s">
        <v>8</v>
      </c>
    </row>
    <row r="7" customFormat="false" ht="15" hidden="false" customHeight="false" outlineLevel="0" collapsed="false">
      <c r="A7" s="4" t="s">
        <v>9</v>
      </c>
      <c r="B7" s="5" t="n">
        <v>180</v>
      </c>
      <c r="C7" s="2" t="s">
        <v>10</v>
      </c>
    </row>
    <row r="8" customFormat="false" ht="15" hidden="false" customHeight="false" outlineLevel="0" collapsed="false">
      <c r="A8" s="4" t="s">
        <v>11</v>
      </c>
      <c r="B8" s="5" t="n">
        <v>650</v>
      </c>
      <c r="C8" s="2" t="s">
        <v>12</v>
      </c>
    </row>
    <row r="9" customFormat="false" ht="15" hidden="false" customHeight="false" outlineLevel="0" collapsed="false">
      <c r="A9" s="4" t="s">
        <v>13</v>
      </c>
      <c r="B9" s="5" t="n">
        <v>350</v>
      </c>
      <c r="C9" s="2" t="s">
        <v>12</v>
      </c>
    </row>
    <row r="10" customFormat="false" ht="15" hidden="false" customHeight="false" outlineLevel="0" collapsed="false">
      <c r="A10" s="4" t="s">
        <v>14</v>
      </c>
      <c r="B10" s="5" t="n">
        <v>0</v>
      </c>
      <c r="C10" s="2" t="s">
        <v>15</v>
      </c>
    </row>
    <row r="11" customFormat="false" ht="15" hidden="false" customHeight="false" outlineLevel="0" collapsed="false">
      <c r="A11" s="4" t="s">
        <v>16</v>
      </c>
      <c r="B11" s="6" t="n">
        <v>2.466</v>
      </c>
      <c r="C11" s="2" t="s">
        <v>17</v>
      </c>
    </row>
    <row r="12" customFormat="false" ht="15" hidden="false" customHeight="false" outlineLevel="0" collapsed="false">
      <c r="A12" s="4" t="s">
        <v>18</v>
      </c>
      <c r="B12" s="6" t="n">
        <v>3.853</v>
      </c>
      <c r="C12" s="2" t="s">
        <v>17</v>
      </c>
    </row>
    <row r="13" customFormat="false" ht="15" hidden="false" customHeight="false" outlineLevel="0" collapsed="false">
      <c r="A13" s="4" t="s">
        <v>19</v>
      </c>
      <c r="B13" s="6" t="n">
        <v>0.395</v>
      </c>
      <c r="C13" s="2" t="s">
        <v>17</v>
      </c>
    </row>
    <row r="14" customFormat="false" ht="15" hidden="false" customHeight="false" outlineLevel="0" collapsed="false">
      <c r="A14" s="4" t="s">
        <v>20</v>
      </c>
      <c r="B14" s="6" t="n">
        <v>0.78</v>
      </c>
      <c r="C14" s="2" t="s">
        <v>21</v>
      </c>
    </row>
    <row r="15" customFormat="false" ht="15" hidden="false" customHeight="false" outlineLevel="0" collapsed="false">
      <c r="A15" s="4" t="s">
        <v>22</v>
      </c>
      <c r="B15" s="7" t="n">
        <v>0.08</v>
      </c>
      <c r="C15" s="2" t="s">
        <v>23</v>
      </c>
    </row>
    <row r="16" customFormat="false" ht="15" hidden="false" customHeight="false" outlineLevel="0" collapsed="false">
      <c r="A16" s="4" t="s">
        <v>24</v>
      </c>
      <c r="B16" s="7" t="n">
        <v>0.1</v>
      </c>
      <c r="C16" s="2" t="s">
        <v>25</v>
      </c>
    </row>
    <row r="17" customFormat="false" ht="15" hidden="false" customHeight="false" outlineLevel="0" collapsed="false">
      <c r="A17" s="4" t="s">
        <v>26</v>
      </c>
      <c r="B17" s="8" t="n">
        <v>11</v>
      </c>
      <c r="C17" s="2" t="s">
        <v>27</v>
      </c>
    </row>
    <row r="18" customFormat="false" ht="15" hidden="false" customHeight="false" outlineLevel="0" collapsed="false">
      <c r="A18" s="4" t="s">
        <v>28</v>
      </c>
      <c r="B18" s="8" t="n">
        <v>18</v>
      </c>
      <c r="C18" s="2" t="s">
        <v>29</v>
      </c>
    </row>
    <row r="19" customFormat="false" ht="15" hidden="false" customHeight="false" outlineLevel="0" collapsed="false">
      <c r="A19" s="4" t="s">
        <v>30</v>
      </c>
      <c r="B19" s="8" t="n">
        <v>6</v>
      </c>
      <c r="C19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4" min="3" style="0" width="14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3" t="s">
        <v>2</v>
      </c>
      <c r="B4" s="3" t="s">
        <v>34</v>
      </c>
      <c r="C4" s="3" t="s">
        <v>35</v>
      </c>
      <c r="D4" s="3" t="s">
        <v>36</v>
      </c>
      <c r="E4" s="3" t="s">
        <v>37</v>
      </c>
    </row>
    <row r="5" customFormat="false" ht="15" hidden="false" customHeight="false" outlineLevel="0" collapsed="false">
      <c r="A5" s="4" t="s">
        <v>38</v>
      </c>
      <c r="B5" s="4" t="s">
        <v>39</v>
      </c>
      <c r="C5" s="9" t="n">
        <f aca="false">0.4*0.6*Premissas!$B$17</f>
        <v>2.64</v>
      </c>
      <c r="D5" s="9" t="n">
        <f aca="false">0.4*0.6*Premissas!$B$17</f>
        <v>2.64</v>
      </c>
      <c r="E5" s="2" t="s">
        <v>40</v>
      </c>
    </row>
    <row r="6" customFormat="false" ht="15" hidden="false" customHeight="false" outlineLevel="0" collapsed="false">
      <c r="A6" s="4" t="s">
        <v>41</v>
      </c>
      <c r="B6" s="4" t="s">
        <v>42</v>
      </c>
      <c r="C6" s="8" t="n">
        <v>10</v>
      </c>
      <c r="D6" s="8" t="n">
        <v>8</v>
      </c>
      <c r="E6" s="2" t="s">
        <v>43</v>
      </c>
    </row>
    <row r="7" customFormat="false" ht="15" hidden="false" customHeight="false" outlineLevel="0" collapsed="false">
      <c r="A7" s="4" t="s">
        <v>44</v>
      </c>
      <c r="B7" s="4" t="s">
        <v>42</v>
      </c>
      <c r="C7" s="8" t="n">
        <v>6</v>
      </c>
      <c r="D7" s="8" t="n">
        <v>0</v>
      </c>
      <c r="E7" s="2" t="s">
        <v>45</v>
      </c>
    </row>
    <row r="8" customFormat="false" ht="15" hidden="false" customHeight="false" outlineLevel="0" collapsed="false">
      <c r="A8" s="4" t="s">
        <v>46</v>
      </c>
      <c r="B8" s="4" t="s">
        <v>47</v>
      </c>
      <c r="C8" s="10" t="n">
        <f aca="false">(C6*Premissas!$B$11+C7*Premissas!$B$12)*Premissas!$B$17*(1+Premissas!$B$16)</f>
        <v>578.1138</v>
      </c>
      <c r="D8" s="10" t="n">
        <f aca="false">(D6*Premissas!$B$11+D7*Premissas!$B$12)*Premissas!$B$17*(1+Premissas!$B$16)</f>
        <v>238.7088</v>
      </c>
      <c r="E8" s="2" t="s">
        <v>48</v>
      </c>
    </row>
    <row r="9" customFormat="false" ht="15" hidden="false" customHeight="false" outlineLevel="0" collapsed="false">
      <c r="A9" s="4" t="s">
        <v>49</v>
      </c>
      <c r="B9" s="4" t="s">
        <v>47</v>
      </c>
      <c r="C9" s="10" t="n">
        <f aca="false">ROUNDUP(Premissas!$B$17/0.15,0)*1.9*Premissas!$B$13</f>
        <v>55.537</v>
      </c>
      <c r="D9" s="10" t="n">
        <f aca="false">ROUNDUP(Premissas!$B$17/0.15,0)*1.9*Premissas!$B$13</f>
        <v>55.537</v>
      </c>
      <c r="E9" s="2" t="s">
        <v>50</v>
      </c>
    </row>
    <row r="10" customFormat="false" ht="15" hidden="false" customHeight="false" outlineLevel="0" collapsed="false">
      <c r="A10" s="4" t="s">
        <v>51</v>
      </c>
      <c r="B10" s="4" t="s">
        <v>47</v>
      </c>
      <c r="C10" s="10" t="n">
        <f aca="false">C8+C9</f>
        <v>633.6508</v>
      </c>
      <c r="D10" s="10" t="n">
        <f aca="false">D8+D9</f>
        <v>294.2458</v>
      </c>
      <c r="E10" s="2"/>
    </row>
    <row r="11" customFormat="false" ht="15" hidden="false" customHeight="false" outlineLevel="0" collapsed="false">
      <c r="A11" s="4" t="s">
        <v>52</v>
      </c>
      <c r="B11" s="4" t="s">
        <v>42</v>
      </c>
      <c r="C11" s="8" t="n">
        <v>0</v>
      </c>
      <c r="D11" s="8" t="n">
        <v>10</v>
      </c>
      <c r="E11" s="2" t="s">
        <v>53</v>
      </c>
    </row>
    <row r="12" customFormat="false" ht="15" hidden="false" customHeight="false" outlineLevel="0" collapsed="false">
      <c r="A12" s="4" t="s">
        <v>54</v>
      </c>
      <c r="B12" s="4" t="s">
        <v>47</v>
      </c>
      <c r="C12" s="10" t="n">
        <f aca="false">C11*Premissas!$B$17*Premissas!$B$14*(1+Premissas!$B$15)</f>
        <v>0</v>
      </c>
      <c r="D12" s="10" t="n">
        <f aca="false">D11*Premissas!$B$17*Premissas!$B$14*(1+Premissas!$B$15)</f>
        <v>92.664</v>
      </c>
      <c r="E12" s="2" t="s">
        <v>55</v>
      </c>
    </row>
    <row r="13" customFormat="false" ht="15" hidden="false" customHeight="false" outlineLevel="0" collapsed="false">
      <c r="A13" s="4" t="s">
        <v>56</v>
      </c>
      <c r="B13" s="4" t="s">
        <v>57</v>
      </c>
      <c r="C13" s="11" t="n">
        <f aca="false">C10/(C5*7850)</f>
        <v>0.030575699671878</v>
      </c>
      <c r="D13" s="11" t="n">
        <f aca="false">D10/(D5*7850)</f>
        <v>0.0141983111368462</v>
      </c>
      <c r="E13" s="2" t="s">
        <v>58</v>
      </c>
    </row>
    <row r="17" customFormat="false" ht="15" hidden="false" customHeight="false" outlineLevel="0" collapsed="false">
      <c r="A17" s="12" t="s">
        <v>59</v>
      </c>
    </row>
    <row r="18" customFormat="false" ht="15" hidden="false" customHeight="false" outlineLevel="0" collapsed="false">
      <c r="A18" s="4" t="s">
        <v>60</v>
      </c>
      <c r="C18" s="13" t="n">
        <f aca="false">C5*Premissas!$B$8</f>
        <v>1716</v>
      </c>
      <c r="D18" s="13" t="n">
        <f aca="false">D5*Premissas!$B$8</f>
        <v>1716</v>
      </c>
    </row>
    <row r="19" customFormat="false" ht="15" hidden="false" customHeight="false" outlineLevel="0" collapsed="false">
      <c r="A19" s="4" t="s">
        <v>61</v>
      </c>
      <c r="C19" s="13" t="n">
        <f aca="false">C10*(Premissas!$B$5+Premissas!$B$10)</f>
        <v>6019.6826</v>
      </c>
      <c r="D19" s="13" t="n">
        <f aca="false">D10*(Premissas!$B$5+Premissas!$B$10)</f>
        <v>2795.3351</v>
      </c>
    </row>
    <row r="20" customFormat="false" ht="15" hidden="false" customHeight="false" outlineLevel="0" collapsed="false">
      <c r="A20" s="4" t="s">
        <v>62</v>
      </c>
      <c r="C20" s="13" t="n">
        <f aca="false">C12*Premissas!$B$6</f>
        <v>0</v>
      </c>
      <c r="D20" s="13" t="n">
        <f aca="false">D12*Premissas!$B$6</f>
        <v>1111.968</v>
      </c>
    </row>
    <row r="21" customFormat="false" ht="15" hidden="false" customHeight="false" outlineLevel="0" collapsed="false">
      <c r="A21" s="4" t="s">
        <v>63</v>
      </c>
      <c r="C21" s="13" t="n">
        <f aca="false">IF(C11&gt;0,Premissas!$B$7,0)</f>
        <v>0</v>
      </c>
      <c r="D21" s="13" t="n">
        <f aca="false">IF(D11&gt;0,Premissas!$B$7,0)</f>
        <v>180</v>
      </c>
    </row>
    <row r="22" customFormat="false" ht="15" hidden="false" customHeight="false" outlineLevel="0" collapsed="false">
      <c r="A22" s="4" t="s">
        <v>64</v>
      </c>
      <c r="C22" s="13" t="n">
        <f aca="false">Premissas!$B$9</f>
        <v>350</v>
      </c>
      <c r="D22" s="13" t="n">
        <f aca="false">Premissas!$B$9</f>
        <v>350</v>
      </c>
    </row>
    <row r="23" customFormat="false" ht="15" hidden="false" customHeight="false" outlineLevel="0" collapsed="false">
      <c r="A23" s="12" t="s">
        <v>65</v>
      </c>
      <c r="C23" s="14" t="n">
        <f aca="false">SUM(C18:C22)</f>
        <v>8085.6826</v>
      </c>
      <c r="D23" s="14" t="n">
        <f aca="false">SUM(D18:D22)</f>
        <v>6153.3031</v>
      </c>
    </row>
    <row r="25" customFormat="false" ht="15" hidden="false" customHeight="false" outlineLevel="0" collapsed="false">
      <c r="A25" s="12" t="s">
        <v>66</v>
      </c>
      <c r="C25" s="15" t="n">
        <f aca="false">D23-C23</f>
        <v>-1932.3795</v>
      </c>
      <c r="D25" s="16" t="n">
        <f aca="false">IF(C23=0,0,D23/C23-1)</f>
        <v>-0.238987800485763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67</v>
      </c>
    </row>
    <row r="3" customFormat="false" ht="15" hidden="false" customHeight="false" outlineLevel="0" collapsed="false">
      <c r="A3" s="3"/>
      <c r="B3" s="3" t="s">
        <v>35</v>
      </c>
      <c r="C3" s="3" t="s">
        <v>36</v>
      </c>
      <c r="D3" s="3" t="s">
        <v>68</v>
      </c>
    </row>
    <row r="4" customFormat="false" ht="15" hidden="false" customHeight="false" outlineLevel="0" collapsed="false">
      <c r="A4" s="4" t="s">
        <v>69</v>
      </c>
      <c r="B4" s="17" t="n">
        <f aca="false">(Premissas!$B$18+Premissas!$B$19)</f>
        <v>24</v>
      </c>
      <c r="C4" s="17" t="n">
        <f aca="false">(Premissas!$B$18+Premissas!$B$19)</f>
        <v>24</v>
      </c>
      <c r="D4" s="18" t="n">
        <f aca="false">C4-B4</f>
        <v>0</v>
      </c>
    </row>
    <row r="5" customFormat="false" ht="15" hidden="false" customHeight="false" outlineLevel="0" collapsed="false">
      <c r="A5" s="4" t="s">
        <v>70</v>
      </c>
      <c r="B5" s="19" t="n">
        <f aca="false">Pilares!C10*(Premissas!$B$18+Premissas!$B$19)</f>
        <v>15207.6192</v>
      </c>
      <c r="C5" s="19" t="n">
        <f aca="false">Pilares!D10*(Premissas!$B$18+Premissas!$B$19)</f>
        <v>7061.8992</v>
      </c>
      <c r="D5" s="10" t="n">
        <f aca="false">C5-B5</f>
        <v>-8145.72</v>
      </c>
    </row>
    <row r="6" customFormat="false" ht="15" hidden="false" customHeight="false" outlineLevel="0" collapsed="false">
      <c r="A6" s="4" t="s">
        <v>71</v>
      </c>
      <c r="B6" s="19" t="n">
        <f aca="false">Pilares!C12*(Premissas!$B$18+Premissas!$B$19)</f>
        <v>0</v>
      </c>
      <c r="C6" s="19" t="n">
        <f aca="false">Pilares!D12*(Premissas!$B$18+Premissas!$B$19)</f>
        <v>2223.936</v>
      </c>
      <c r="D6" s="10" t="n">
        <f aca="false">C6-B6</f>
        <v>2223.936</v>
      </c>
    </row>
    <row r="7" customFormat="false" ht="15" hidden="false" customHeight="false" outlineLevel="0" collapsed="false">
      <c r="A7" s="4" t="s">
        <v>72</v>
      </c>
      <c r="B7" s="20" t="n">
        <f aca="false">Pilares!C5*(Premissas!$B$18+Premissas!$B$19)</f>
        <v>63.36</v>
      </c>
      <c r="C7" s="20" t="n">
        <f aca="false">Pilares!D5*(Premissas!$B$18+Premissas!$B$19)</f>
        <v>63.36</v>
      </c>
      <c r="D7" s="21" t="n">
        <f aca="false">C7-B7</f>
        <v>0</v>
      </c>
    </row>
    <row r="8" customFormat="false" ht="15" hidden="false" customHeight="false" outlineLevel="0" collapsed="false">
      <c r="A8" s="4" t="s">
        <v>73</v>
      </c>
      <c r="B8" s="22" t="n">
        <f aca="false">Pilares!C23*(Premissas!$B$18+Premissas!$B$19)</f>
        <v>194056.3824</v>
      </c>
      <c r="C8" s="22" t="n">
        <f aca="false">Pilares!D23*(Premissas!$B$18+Premissas!$B$19)</f>
        <v>147679.2744</v>
      </c>
      <c r="D8" s="13" t="n">
        <f aca="false">C8-B8</f>
        <v>-46377.1080000001</v>
      </c>
    </row>
    <row r="9" customFormat="false" ht="15" hidden="false" customHeight="false" outlineLevel="0" collapsed="false">
      <c r="A9" s="4" t="s">
        <v>74</v>
      </c>
      <c r="B9" s="22" t="n">
        <f aca="false">Pilares!C23</f>
        <v>8085.6826</v>
      </c>
      <c r="C9" s="22" t="n">
        <f aca="false">Pilares!D23</f>
        <v>6153.3031</v>
      </c>
      <c r="D9" s="13" t="n">
        <f aca="false">C9-B9</f>
        <v>-1932.3795</v>
      </c>
    </row>
    <row r="10" customFormat="false" ht="15" hidden="false" customHeight="false" outlineLevel="0" collapsed="false">
      <c r="A10" s="4" t="s">
        <v>75</v>
      </c>
      <c r="B10" s="11"/>
      <c r="C10" s="11"/>
      <c r="D10" s="11" t="n">
        <f aca="false">IF(B8=0,0,C8/B8-1)</f>
        <v>-0.238987800485763</v>
      </c>
    </row>
    <row r="12" customFormat="false" ht="15" hidden="false" customHeight="false" outlineLevel="0" collapsed="false">
      <c r="A12" s="12" t="s">
        <v>76</v>
      </c>
    </row>
    <row r="13" customFormat="false" ht="15" hidden="false" customHeight="false" outlineLevel="0" collapsed="false">
      <c r="A13" s="23" t="s">
        <v>77</v>
      </c>
    </row>
    <row r="14" customFormat="false" ht="15" hidden="false" customHeight="false" outlineLevel="0" collapsed="false">
      <c r="A14" s="23" t="s">
        <v>78</v>
      </c>
    </row>
    <row r="15" customFormat="false" ht="15" hidden="false" customHeight="false" outlineLevel="0" collapsed="false">
      <c r="A15" s="23" t="s">
        <v>79</v>
      </c>
    </row>
    <row r="16" customFormat="false" ht="15" hidden="false" customHeight="false" outlineLevel="0" collapsed="false">
      <c r="A16" s="23" t="s">
        <v>80</v>
      </c>
    </row>
    <row r="17" customFormat="false" ht="15" hidden="false" customHeight="false" outlineLevel="0" collapsed="false">
      <c r="A17" s="23" t="s">
        <v>81</v>
      </c>
    </row>
    <row r="20" customFormat="false" ht="15" hidden="false" customHeight="false" outlineLevel="0" collapsed="false">
      <c r="A20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2026-10-12T12:20:54Z</dcterms:created>
  <dc:creator>openpyxl</dc:creator>
  <dc:description/>
  <dc:language>en-US</dc:language>
  <cp:lastModifiedBy/>
  <dcterms:modified xsi:type="dcterms:W3CDTF">2026-10-12T12:20:54Z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